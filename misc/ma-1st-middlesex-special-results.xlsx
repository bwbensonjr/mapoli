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b/Documents/Repos/mapoli-website/mapoli/"/>
    </mc:Choice>
  </mc:AlternateContent>
  <xr:revisionPtr revIDLastSave="0" documentId="13_ncr:1_{DD0A0BC1-89C2-2345-B970-B49B6A849514}" xr6:coauthVersionLast="47" xr6:coauthVersionMax="47" xr10:uidLastSave="{00000000-0000-0000-0000-000000000000}"/>
  <bookViews>
    <workbookView xWindow="1140" yWindow="900" windowWidth="28000" windowHeight="17180" xr2:uid="{37A42032-3289-AC41-A4A1-E8161011DF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E6" i="1"/>
  <c r="C7" i="1"/>
  <c r="H7" i="1"/>
  <c r="F7" i="1"/>
  <c r="D7" i="1"/>
  <c r="B7" i="1"/>
  <c r="G3" i="1"/>
  <c r="G4" i="1"/>
  <c r="G5" i="1"/>
  <c r="G6" i="1"/>
  <c r="E3" i="1"/>
  <c r="E4" i="1"/>
  <c r="E5" i="1"/>
  <c r="C3" i="1"/>
  <c r="C4" i="1"/>
  <c r="C5" i="1"/>
  <c r="C6" i="1"/>
  <c r="G2" i="1"/>
  <c r="E2" i="1"/>
  <c r="C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<sst xmlns="http://schemas.openxmlformats.org/spreadsheetml/2006/main" count="10" uniqueCount="9">
  <si>
    <t>Dracut</t>
  </si>
  <si>
    <t>Dunstable</t>
  </si>
  <si>
    <t>Lowell</t>
  </si>
  <si>
    <t>Pepperell</t>
  </si>
  <si>
    <t>Tynsgsborough</t>
  </si>
  <si>
    <t>Howard (D)</t>
  </si>
  <si>
    <t>Espinola (I)</t>
  </si>
  <si>
    <t>Total</t>
  </si>
  <si>
    <t>Meas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</si>
</sst>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2" xfId="0" applyBorder="1"/>
    <xf numFmtId="3" fontId="0" fillId="0" borderId="2" xfId="0" applyNumberFormat="1" applyBorder="1" applyAlignment="1">
      <alignment horizontal="right"/>
    </xf>
    <xf numFmtId="9" fontId="0" fillId="0" borderId="2" xfId="0" applyNumberFormat="1" applyBorder="1" applyAlignment="1">
      <alignment horizontal="center"/>
    </xf>
    <xf numFmtId="0" fontId="0" fillId="0" borderId="3" xfId="0" applyBorder="1"/>
    <xf numFmtId="3" fontId="0" fillId="0" borderId="3" xfId="0" applyNumberFormat="1" applyBorder="1" applyAlignment="1">
      <alignment horizontal="right"/>
    </xf>
    <xf numFmtId="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13</xdr:col>
      <xdr:colOff>808567</xdr:colOff>
      <xdr:row>17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83686-3AFD-CF0D-7C99-4C4A52A3B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9500" y="2233083"/>
          <a:ext cx="650240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8016-CBCB-2B4B-BC7A-DF5798CB5B93}">
  <dimension ref="A1:H7"/>
  <sheetViews>
    <sheetView tabSelected="1" zoomScale="120" zoomScaleNormal="120" workbookViewId="0">
      <selection activeCell="G12" sqref="G12"/>
    </sheetView>
  </sheetViews>
  <sheetFormatPr baseColWidth="10" defaultRowHeight="16" x14ac:dyDescent="0.2"/>
  <cols>
    <col min="1" max="1" width="12.83203125" bestFit="1" customWidth="1"/>
    <col min="2" max="2" width="10.33203125" style="2" customWidth="1"/>
    <col min="3" max="3" width="10.33203125" style="1" customWidth="1"/>
    <col min="4" max="4" width="10.33203125" style="2" customWidth="1"/>
    <col min="5" max="5" width="10.33203125" style="1" customWidth="1"/>
    <col min="6" max="6" width="10.33203125" style="2" customWidth="1"/>
    <col min="7" max="7" width="10.33203125" customWidth="1"/>
    <col min="8" max="8" width="10.33203125" style="2" customWidth="1"/>
  </cols>
  <sheetData>
    <row r="1" spans="1:8" ht="17" thickBot="1" x14ac:dyDescent="0.25">
      <c r="B1" s="3" t="s">
        <v>5</v>
      </c>
      <c r="C1" s="3"/>
      <c r="D1" s="3" t="s">
        <v>8</v>
      </c>
      <c r="E1" s="3"/>
      <c r="F1" s="3" t="s">
        <v>6</v>
      </c>
      <c r="G1" s="3"/>
      <c r="H1" s="4" t="s">
        <v>7</v>
      </c>
    </row>
    <row r="2" spans="1:8" x14ac:dyDescent="0.2">
      <c r="A2" s="7" t="s">
        <v>0</v>
      </c>
      <c r="B2" s="8">
        <v>485</v>
      </c>
      <c r="C2" s="9">
        <f>B2/$H2</f>
        <v>0.31049935979513443</v>
      </c>
      <c r="D2" s="8">
        <v>450</v>
      </c>
      <c r="E2" s="9">
        <f>D2/$H2</f>
        <v>0.28809218950064019</v>
      </c>
      <c r="F2" s="8">
        <v>627</v>
      </c>
      <c r="G2" s="9">
        <f>F2/$H2</f>
        <v>0.40140845070422537</v>
      </c>
      <c r="H2" s="8">
        <f>SUM(B2,D2,F2)</f>
        <v>1562</v>
      </c>
    </row>
    <row r="3" spans="1:8" x14ac:dyDescent="0.2">
      <c r="A3" s="10" t="s">
        <v>1</v>
      </c>
      <c r="B3" s="11">
        <v>245</v>
      </c>
      <c r="C3" s="12">
        <f t="shared" ref="C3:E7" si="0">B3/$H3</f>
        <v>0.47480620155038761</v>
      </c>
      <c r="D3" s="11">
        <v>240</v>
      </c>
      <c r="E3" s="12">
        <f t="shared" ref="E3:E6" si="1">D3/$H3</f>
        <v>0.46511627906976744</v>
      </c>
      <c r="F3" s="11">
        <v>31</v>
      </c>
      <c r="G3" s="12">
        <f t="shared" ref="G3:G7" si="2">F3/$H3</f>
        <v>6.0077519379844964E-2</v>
      </c>
      <c r="H3" s="11">
        <f t="shared" ref="H3:H6" si="3">SUM(B3,D3,F3)</f>
        <v>516</v>
      </c>
    </row>
    <row r="4" spans="1:8" x14ac:dyDescent="0.2">
      <c r="A4" s="10" t="s">
        <v>2</v>
      </c>
      <c r="B4" s="11">
        <v>2519</v>
      </c>
      <c r="C4" s="12">
        <f t="shared" si="0"/>
        <v>0.7059977578475336</v>
      </c>
      <c r="D4" s="11">
        <v>545</v>
      </c>
      <c r="E4" s="12">
        <f t="shared" si="1"/>
        <v>0.15274663677130046</v>
      </c>
      <c r="F4" s="11">
        <v>504</v>
      </c>
      <c r="G4" s="12">
        <f t="shared" si="2"/>
        <v>0.14125560538116591</v>
      </c>
      <c r="H4" s="11">
        <f t="shared" si="3"/>
        <v>3568</v>
      </c>
    </row>
    <row r="5" spans="1:8" x14ac:dyDescent="0.2">
      <c r="A5" s="10" t="s">
        <v>3</v>
      </c>
      <c r="B5" s="11">
        <v>645</v>
      </c>
      <c r="C5" s="12">
        <f t="shared" si="0"/>
        <v>0.61781609195402298</v>
      </c>
      <c r="D5" s="11">
        <v>332</v>
      </c>
      <c r="E5" s="12">
        <f t="shared" si="1"/>
        <v>0.31800766283524906</v>
      </c>
      <c r="F5" s="11">
        <v>67</v>
      </c>
      <c r="G5" s="12">
        <f t="shared" si="2"/>
        <v>6.417624521072797E-2</v>
      </c>
      <c r="H5" s="11">
        <f t="shared" si="3"/>
        <v>1044</v>
      </c>
    </row>
    <row r="6" spans="1:8" ht="17" thickBot="1" x14ac:dyDescent="0.25">
      <c r="A6" s="13" t="s">
        <v>4</v>
      </c>
      <c r="B6" s="14">
        <v>382</v>
      </c>
      <c r="C6" s="15">
        <f t="shared" si="0"/>
        <v>0.51001335113484647</v>
      </c>
      <c r="D6" s="14">
        <v>226</v>
      </c>
      <c r="E6" s="15">
        <f t="shared" si="0"/>
        <v>0.30173564753004006</v>
      </c>
      <c r="F6" s="14">
        <v>141</v>
      </c>
      <c r="G6" s="15">
        <f t="shared" si="2"/>
        <v>0.18825100133511349</v>
      </c>
      <c r="H6" s="14">
        <f t="shared" si="3"/>
        <v>749</v>
      </c>
    </row>
    <row r="7" spans="1:8" x14ac:dyDescent="0.2">
      <c r="A7" s="5" t="s">
        <v>7</v>
      </c>
      <c r="B7" s="4">
        <f>SUM(B2:B6)</f>
        <v>4276</v>
      </c>
      <c r="C7" s="6">
        <f t="shared" si="0"/>
        <v>0.57480844199489178</v>
      </c>
      <c r="D7" s="4">
        <f>SUM(D2:D6)</f>
        <v>1793</v>
      </c>
      <c r="E7" s="6">
        <f t="shared" si="0"/>
        <v>0.24102701976072052</v>
      </c>
      <c r="F7" s="4">
        <f>SUM(F2:F6)</f>
        <v>1370</v>
      </c>
      <c r="G7" s="6">
        <f t="shared" si="2"/>
        <v>0.18416453824438769</v>
      </c>
      <c r="H7" s="4">
        <f>SUM(H2:H6)</f>
        <v>7439</v>
      </c>
    </row>
  </sheetData>
  <mergeCells count="3">
    <mergeCell ref="B1:C1"/>
    <mergeCell ref="D1:E1"/>
    <mergeCell ref="F1:G1"/>
  </mergeCells>
  <pageMargins left="0.7" right="0.7" top="0.75" bottom="0.75" header="0.3" footer="0.3"/>
  <pageSetup orientation="portrait" horizontalDpi="0" verticalDpi="0"/>
  <ignoredErrors>
    <ignoredError sqref="G7 E7:F7 C7:D7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Benson, Brent</dc:creator>
  <cp:lastModifiedBy>Benson, Brent</cp:lastModifiedBy>
  <dcterms:created xsi:type="dcterms:W3CDTF">2026-03-04T03:04:08Z</dcterms:created>
  <dcterms:modified xsi:type="dcterms:W3CDTF">2026-03-04T12:20:01Z</dcterms:modified>
</cp:coreProperties>
</file>